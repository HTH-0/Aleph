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회 플레이 기록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<sst xmlns="http://schemas.openxmlformats.org/spreadsheetml/2006/main" count="128" uniqueCount="38">
  <si>
    <r>
      <rPr>
        <b val="true"/>
        <sz val="14"/>
        <rFont val="Noto Sans CJK SC"/>
        <family val="2"/>
      </rPr>
      <t xml:space="preserve">난이도 값 변경 전</t>
    </r>
    <r>
      <rPr>
        <b val="true"/>
        <sz val="14"/>
        <rFont val="Arial"/>
        <family val="0"/>
        <charset val="1"/>
      </rPr>
      <t xml:space="preserve">/</t>
    </r>
    <r>
      <rPr>
        <b val="true"/>
        <sz val="14"/>
        <rFont val="Noto Sans CJK SC"/>
        <family val="2"/>
      </rPr>
      <t xml:space="preserve">후 비교 — </t>
    </r>
    <r>
      <rPr>
        <b val="true"/>
        <sz val="14"/>
        <rFont val="Arial"/>
        <family val="0"/>
        <charset val="1"/>
      </rPr>
      <t xml:space="preserve">20</t>
    </r>
    <r>
      <rPr>
        <b val="true"/>
        <sz val="14"/>
        <rFont val="Noto Sans CJK SC"/>
        <family val="2"/>
      </rPr>
      <t xml:space="preserve">회 플레이 기록표</t>
    </r>
  </si>
  <si>
    <r>
      <rPr>
        <i val="true"/>
        <sz val="9"/>
        <color rgb="FF666666"/>
        <rFont val="Noto Sans CJK SC"/>
        <family val="2"/>
      </rPr>
      <t xml:space="preserve">변경 항목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어려움</t>
    </r>
    <r>
      <rPr>
        <i val="true"/>
        <sz val="9"/>
        <color rgb="FF666666"/>
        <rFont val="Arial"/>
        <family val="0"/>
        <charset val="1"/>
      </rPr>
      <t xml:space="preserve">(hard) </t>
    </r>
    <r>
      <rPr>
        <i val="true"/>
        <sz val="9"/>
        <color rgb="FF666666"/>
        <rFont val="Noto Sans CJK SC"/>
        <family val="2"/>
      </rPr>
      <t xml:space="preserve">난이도의 </t>
    </r>
    <r>
      <rPr>
        <i val="true"/>
        <sz val="9"/>
        <color rgb="FF666666"/>
        <rFont val="Arial"/>
        <family val="0"/>
        <charset val="1"/>
      </rPr>
      <t xml:space="preserve">spawnInterval 0.50 → 0.55 (</t>
    </r>
    <r>
      <rPr>
        <i val="true"/>
        <sz val="9"/>
        <color rgb="FF666666"/>
        <rFont val="Noto Sans CJK SC"/>
        <family val="2"/>
      </rPr>
      <t xml:space="preserve">탄막 생성 간격을 늘려 체감 난이도를 낮춤</t>
    </r>
    <r>
      <rPr>
        <i val="true"/>
        <sz val="9"/>
        <color rgb="FF666666"/>
        <rFont val="Arial"/>
        <family val="0"/>
        <charset val="1"/>
      </rPr>
      <t xml:space="preserve">)</t>
    </r>
  </si>
  <si>
    <t xml:space="preserve">회차</t>
  </si>
  <si>
    <r>
      <rPr>
        <b val="true"/>
        <sz val="10"/>
        <color rgb="FFFFFFFF"/>
        <rFont val="Noto Sans CJK SC"/>
        <family val="2"/>
      </rPr>
      <t xml:space="preserve">구분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전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</si>
  <si>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난이도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단계</t>
    </r>
  </si>
  <si>
    <t xml:space="preserve">바꾼 난이도 값</t>
  </si>
  <si>
    <t xml:space="preserve">점수</t>
  </si>
  <si>
    <r>
      <rPr>
        <b val="true"/>
        <sz val="10"/>
        <color rgb="FFFFFFFF"/>
        <rFont val="Noto Sans CJK SC"/>
        <family val="2"/>
      </rPr>
      <t xml:space="preserve">생존시간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</si>
  <si>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결과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성공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실패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</si>
  <si>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메모</t>
  </si>
  <si>
    <t xml:space="preserve">전</t>
  </si>
  <si>
    <t xml:space="preserve">어려움</t>
  </si>
  <si>
    <t xml:space="preserve">spawnInterval 0.50</t>
  </si>
  <si>
    <t xml:space="preserve">실패</t>
  </si>
  <si>
    <t xml:space="preserve">홈밍 탄막에 피격</t>
  </si>
  <si>
    <t xml:space="preserve">화면 가장자리에서 협공당함</t>
  </si>
  <si>
    <t xml:space="preserve">직선형 탄막에 정면 피격</t>
  </si>
  <si>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자형 탄막 사이로 못 빠져나감</t>
    </r>
  </si>
  <si>
    <t xml:space="preserve">후</t>
  </si>
  <si>
    <t xml:space="preserve">spawnInterval 0.55</t>
  </si>
  <si>
    <t xml:space="preserve">성공</t>
  </si>
  <si>
    <t xml:space="preserve">끝까지 회피 성공</t>
  </si>
  <si>
    <t xml:space="preserve">막판에 아슬아슬하게 생존</t>
  </si>
  <si>
    <t xml:space="preserve">연속 스폰 구간에서 반응 늦음</t>
  </si>
  <si>
    <t xml:space="preserve">중앙 유지 전략으로 생존</t>
  </si>
  <si>
    <r>
      <rPr>
        <b val="true"/>
        <sz val="12"/>
        <rFont val="Noto Sans CJK SC"/>
        <family val="2"/>
      </rPr>
      <t xml:space="preserve">요약 통계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자동 계산</t>
    </r>
    <r>
      <rPr>
        <b val="true"/>
        <sz val="12"/>
        <rFont val="Arial"/>
        <family val="0"/>
        <charset val="1"/>
      </rPr>
      <t xml:space="preserve">)</t>
    </r>
  </si>
  <si>
    <t xml:space="preserve">구분</t>
  </si>
  <si>
    <t xml:space="preserve">표본 수</t>
  </si>
  <si>
    <t xml:space="preserve">점수 최솟값</t>
  </si>
  <si>
    <t xml:space="preserve">점수 최댓값</t>
  </si>
  <si>
    <t xml:space="preserve">점수 범위</t>
  </si>
  <si>
    <t xml:space="preserve">점수 중앙값</t>
  </si>
  <si>
    <t xml:space="preserve">생존시간 중앙값</t>
  </si>
  <si>
    <t xml:space="preserve">성공 횟수</t>
  </si>
  <si>
    <t xml:space="preserve">변경 전</t>
  </si>
  <si>
    <t xml:space="preserve">변경 후</t>
  </si>
  <si>
    <t xml:space="preserve">최종 난이도 선택 이유</t>
  </si>
  <si>
    <r>
      <rPr>
        <sz val="10"/>
        <rFont val="Noto Sans CJK SC"/>
        <family val="2"/>
      </rPr>
      <t xml:space="preserve">변경 전 어려움</t>
    </r>
    <r>
      <rPr>
        <sz val="10"/>
        <rFont val="Arial"/>
        <family val="0"/>
        <charset val="1"/>
      </rPr>
      <t xml:space="preserve">(spawnInterval=0.50)</t>
    </r>
    <r>
      <rPr>
        <sz val="10"/>
        <rFont val="Noto Sans CJK SC"/>
        <family val="2"/>
      </rPr>
      <t xml:space="preserve">에서는 생존시간 중앙값이 </t>
    </r>
    <r>
      <rPr>
        <sz val="10"/>
        <rFont val="Arial"/>
        <family val="0"/>
        <charset val="1"/>
      </rPr>
      <t xml:space="preserve">13.1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범위가 </t>
    </r>
    <r>
      <rPr>
        <sz val="10"/>
        <rFont val="Arial"/>
        <family val="0"/>
        <charset val="1"/>
      </rPr>
      <t xml:space="preserve">16.0</t>
    </r>
    <r>
      <rPr>
        <sz val="10"/>
        <rFont val="Noto Sans CJK SC"/>
        <family val="2"/>
      </rPr>
      <t xml:space="preserve">초였고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회 중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회만 성공해 대부분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초 이전 유도형</t>
    </r>
    <r>
      <rPr>
        <sz val="10"/>
        <rFont val="Arial"/>
        <family val="0"/>
        <charset val="1"/>
      </rPr>
      <t xml:space="preserve">(homing) </t>
    </r>
    <r>
      <rPr>
        <sz val="10"/>
        <rFont val="Noto Sans CJK SC"/>
        <family val="2"/>
      </rPr>
      <t xml:space="preserve">탄막 등장 구간에서 반복 사망했다</t>
    </r>
    <r>
      <rPr>
        <sz val="10"/>
        <rFont val="Arial"/>
        <family val="0"/>
        <charset val="1"/>
      </rPr>
      <t xml:space="preserve">. spawnInterval</t>
    </r>
    <r>
      <rPr>
        <sz val="10"/>
        <rFont val="Noto Sans CJK SC"/>
        <family val="2"/>
      </rPr>
      <t xml:space="preserve">을 </t>
    </r>
    <r>
      <rPr>
        <sz val="10"/>
        <rFont val="Arial"/>
        <family val="0"/>
        <charset val="1"/>
      </rPr>
      <t xml:space="preserve">0.55</t>
    </r>
    <r>
      <rPr>
        <sz val="10"/>
        <rFont val="Noto Sans CJK SC"/>
        <family val="2"/>
      </rPr>
      <t xml:space="preserve">로 완화한 뒤에는 생존시간 중앙값이 </t>
    </r>
    <r>
      <rPr>
        <sz val="10"/>
        <rFont val="Arial"/>
        <family val="0"/>
        <charset val="1"/>
      </rPr>
      <t xml:space="preserve">30.0</t>
    </r>
    <r>
      <rPr>
        <sz val="10"/>
        <rFont val="Noto Sans CJK SC"/>
        <family val="2"/>
      </rPr>
      <t xml:space="preserve">초로 늘고 범위는 </t>
    </r>
    <r>
      <rPr>
        <sz val="10"/>
        <rFont val="Arial"/>
        <family val="0"/>
        <charset val="1"/>
      </rPr>
      <t xml:space="preserve">8.1</t>
    </r>
    <r>
      <rPr>
        <sz val="10"/>
        <rFont val="Noto Sans CJK SC"/>
        <family val="2"/>
      </rPr>
      <t xml:space="preserve">초로 좁아졌으며 성공 횟수도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회로 늘어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초반 난이도가 지나치게 가파르다는 반복 실패 원인이 실제로 완화됨을 확인해 이 값을 최종 채택했다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</si>
</sst>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i val="true"/>
      <sz val="10"/>
      <color rgb="FF999999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b val="true"/>
      <sz val="11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26"/>
  </cols>
  <sheetData>
    <row r="1" customFormat="false" ht="21.6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n">
        <v>1</v>
      </c>
      <c r="B5" s="5" t="s">
        <v>10</v>
      </c>
      <c r="C5" s="5" t="s">
        <v>11</v>
      </c>
      <c r="D5" s="4" t="s">
        <v>12</v>
      </c>
      <c r="E5" s="4" t="n">
        <v>2450</v>
      </c>
      <c r="F5" s="4" t="n">
        <v>25.3</v>
      </c>
      <c r="G5" s="5" t="s">
        <v>13</v>
      </c>
      <c r="H5" s="5" t="s">
        <v>14</v>
      </c>
    </row>
    <row r="6" customFormat="false" ht="15" hidden="false" customHeight="false" outlineLevel="0" collapsed="false">
      <c r="A6" s="6" t="n">
        <v>1</v>
      </c>
      <c r="B6" s="7" t="s">
        <v>10</v>
      </c>
      <c r="C6" s="7" t="s">
        <v>11</v>
      </c>
      <c r="D6" s="6" t="s">
        <v>12</v>
      </c>
      <c r="E6" s="6" t="n">
        <v>650</v>
      </c>
      <c r="F6" s="6" t="n">
        <v>6.5</v>
      </c>
      <c r="G6" s="7" t="s">
        <v>13</v>
      </c>
      <c r="H6" s="7" t="s">
        <v>15</v>
      </c>
    </row>
    <row r="7" customFormat="false" ht="15" hidden="false" customHeight="false" outlineLevel="0" collapsed="false">
      <c r="A7" s="6" t="n">
        <v>2</v>
      </c>
      <c r="B7" s="7" t="s">
        <v>10</v>
      </c>
      <c r="C7" s="7" t="s">
        <v>11</v>
      </c>
      <c r="D7" s="6" t="s">
        <v>12</v>
      </c>
      <c r="E7" s="6" t="n">
        <v>850</v>
      </c>
      <c r="F7" s="6" t="n">
        <v>8.5</v>
      </c>
      <c r="G7" s="7" t="s">
        <v>13</v>
      </c>
      <c r="H7" s="7" t="s">
        <v>14</v>
      </c>
    </row>
    <row r="8" customFormat="false" ht="15" hidden="false" customHeight="false" outlineLevel="0" collapsed="false">
      <c r="A8" s="6" t="n">
        <v>3</v>
      </c>
      <c r="B8" s="7" t="s">
        <v>10</v>
      </c>
      <c r="C8" s="7" t="s">
        <v>11</v>
      </c>
      <c r="D8" s="6" t="s">
        <v>12</v>
      </c>
      <c r="E8" s="6" t="n">
        <v>2210</v>
      </c>
      <c r="F8" s="6" t="n">
        <v>22.1</v>
      </c>
      <c r="G8" s="7" t="s">
        <v>13</v>
      </c>
      <c r="H8" s="7" t="s">
        <v>14</v>
      </c>
    </row>
    <row r="9" customFormat="false" ht="15" hidden="false" customHeight="false" outlineLevel="0" collapsed="false">
      <c r="A9" s="6" t="n">
        <v>4</v>
      </c>
      <c r="B9" s="7" t="s">
        <v>10</v>
      </c>
      <c r="C9" s="7" t="s">
        <v>11</v>
      </c>
      <c r="D9" s="6" t="s">
        <v>12</v>
      </c>
      <c r="E9" s="6" t="n">
        <v>660</v>
      </c>
      <c r="F9" s="6" t="n">
        <v>6.6</v>
      </c>
      <c r="G9" s="7" t="s">
        <v>13</v>
      </c>
      <c r="H9" s="7" t="s">
        <v>14</v>
      </c>
    </row>
    <row r="10" customFormat="false" ht="15" hidden="false" customHeight="false" outlineLevel="0" collapsed="false">
      <c r="A10" s="6" t="n">
        <v>5</v>
      </c>
      <c r="B10" s="7" t="s">
        <v>10</v>
      </c>
      <c r="C10" s="7" t="s">
        <v>11</v>
      </c>
      <c r="D10" s="6" t="s">
        <v>12</v>
      </c>
      <c r="E10" s="6" t="n">
        <v>1510</v>
      </c>
      <c r="F10" s="6" t="n">
        <v>15.1</v>
      </c>
      <c r="G10" s="7" t="s">
        <v>13</v>
      </c>
      <c r="H10" s="7" t="s">
        <v>14</v>
      </c>
    </row>
    <row r="11" customFormat="false" ht="15" hidden="false" customHeight="false" outlineLevel="0" collapsed="false">
      <c r="A11" s="6" t="n">
        <v>6</v>
      </c>
      <c r="B11" s="7" t="s">
        <v>10</v>
      </c>
      <c r="C11" s="7" t="s">
        <v>11</v>
      </c>
      <c r="D11" s="6" t="s">
        <v>12</v>
      </c>
      <c r="E11" s="6" t="n">
        <v>1890</v>
      </c>
      <c r="F11" s="6" t="n">
        <v>18.9</v>
      </c>
      <c r="G11" s="7" t="s">
        <v>13</v>
      </c>
      <c r="H11" s="7" t="s">
        <v>16</v>
      </c>
    </row>
    <row r="12" customFormat="false" ht="15" hidden="false" customHeight="false" outlineLevel="0" collapsed="false">
      <c r="A12" s="6" t="n">
        <v>7</v>
      </c>
      <c r="B12" s="7" t="s">
        <v>10</v>
      </c>
      <c r="C12" s="7" t="s">
        <v>11</v>
      </c>
      <c r="D12" s="6" t="s">
        <v>12</v>
      </c>
      <c r="E12" s="6" t="n">
        <v>1410</v>
      </c>
      <c r="F12" s="6" t="n">
        <v>14.1</v>
      </c>
      <c r="G12" s="7" t="s">
        <v>13</v>
      </c>
      <c r="H12" s="7" t="s">
        <v>15</v>
      </c>
    </row>
    <row r="13" customFormat="false" ht="15" hidden="false" customHeight="false" outlineLevel="0" collapsed="false">
      <c r="A13" s="6" t="n">
        <v>8</v>
      </c>
      <c r="B13" s="7" t="s">
        <v>10</v>
      </c>
      <c r="C13" s="7" t="s">
        <v>11</v>
      </c>
      <c r="D13" s="6" t="s">
        <v>12</v>
      </c>
      <c r="E13" s="6" t="n">
        <v>610</v>
      </c>
      <c r="F13" s="6" t="n">
        <v>6.1</v>
      </c>
      <c r="G13" s="7" t="s">
        <v>13</v>
      </c>
      <c r="H13" s="6" t="s">
        <v>17</v>
      </c>
    </row>
    <row r="14" customFormat="false" ht="15" hidden="false" customHeight="false" outlineLevel="0" collapsed="false">
      <c r="A14" s="6" t="n">
        <v>9</v>
      </c>
      <c r="B14" s="7" t="s">
        <v>10</v>
      </c>
      <c r="C14" s="7" t="s">
        <v>11</v>
      </c>
      <c r="D14" s="6" t="s">
        <v>12</v>
      </c>
      <c r="E14" s="6" t="n">
        <v>1210</v>
      </c>
      <c r="F14" s="6" t="n">
        <v>12.1</v>
      </c>
      <c r="G14" s="7" t="s">
        <v>13</v>
      </c>
      <c r="H14" s="6" t="s">
        <v>17</v>
      </c>
    </row>
    <row r="15" customFormat="false" ht="15" hidden="false" customHeight="false" outlineLevel="0" collapsed="false">
      <c r="A15" s="6" t="n">
        <v>10</v>
      </c>
      <c r="B15" s="7" t="s">
        <v>10</v>
      </c>
      <c r="C15" s="7" t="s">
        <v>11</v>
      </c>
      <c r="D15" s="6" t="s">
        <v>12</v>
      </c>
      <c r="E15" s="6" t="n">
        <v>1970</v>
      </c>
      <c r="F15" s="6" t="n">
        <v>19.7</v>
      </c>
      <c r="G15" s="7" t="s">
        <v>13</v>
      </c>
      <c r="H15" s="7" t="s">
        <v>14</v>
      </c>
    </row>
    <row r="16" customFormat="false" ht="15" hidden="false" customHeight="false" outlineLevel="0" collapsed="false">
      <c r="A16" s="6" t="n">
        <v>11</v>
      </c>
      <c r="B16" s="7" t="s">
        <v>18</v>
      </c>
      <c r="C16" s="7" t="s">
        <v>11</v>
      </c>
      <c r="D16" s="6" t="s">
        <v>19</v>
      </c>
      <c r="E16" s="6" t="n">
        <v>3000</v>
      </c>
      <c r="F16" s="6" t="n">
        <v>30</v>
      </c>
      <c r="G16" s="7" t="s">
        <v>20</v>
      </c>
      <c r="H16" s="7" t="s">
        <v>21</v>
      </c>
    </row>
    <row r="17" customFormat="false" ht="15" hidden="false" customHeight="false" outlineLevel="0" collapsed="false">
      <c r="A17" s="6" t="n">
        <v>12</v>
      </c>
      <c r="B17" s="7" t="s">
        <v>18</v>
      </c>
      <c r="C17" s="7" t="s">
        <v>11</v>
      </c>
      <c r="D17" s="6" t="s">
        <v>19</v>
      </c>
      <c r="E17" s="6" t="n">
        <v>3000</v>
      </c>
      <c r="F17" s="6" t="n">
        <v>30</v>
      </c>
      <c r="G17" s="7" t="s">
        <v>20</v>
      </c>
      <c r="H17" s="7" t="s">
        <v>22</v>
      </c>
    </row>
    <row r="18" customFormat="false" ht="15" hidden="false" customHeight="false" outlineLevel="0" collapsed="false">
      <c r="A18" s="6" t="n">
        <v>13</v>
      </c>
      <c r="B18" s="7" t="s">
        <v>18</v>
      </c>
      <c r="C18" s="7" t="s">
        <v>11</v>
      </c>
      <c r="D18" s="6" t="s">
        <v>19</v>
      </c>
      <c r="E18" s="6" t="n">
        <v>2490</v>
      </c>
      <c r="F18" s="6" t="n">
        <v>24.9</v>
      </c>
      <c r="G18" s="7" t="s">
        <v>13</v>
      </c>
      <c r="H18" s="7" t="s">
        <v>23</v>
      </c>
    </row>
    <row r="19" customFormat="false" ht="15" hidden="false" customHeight="false" outlineLevel="0" collapsed="false">
      <c r="A19" s="6" t="n">
        <v>14</v>
      </c>
      <c r="B19" s="7" t="s">
        <v>18</v>
      </c>
      <c r="C19" s="7" t="s">
        <v>11</v>
      </c>
      <c r="D19" s="6" t="s">
        <v>19</v>
      </c>
      <c r="E19" s="6" t="n">
        <v>3000</v>
      </c>
      <c r="F19" s="6" t="n">
        <v>30</v>
      </c>
      <c r="G19" s="7" t="s">
        <v>20</v>
      </c>
      <c r="H19" s="7" t="s">
        <v>22</v>
      </c>
    </row>
    <row r="20" customFormat="false" ht="15" hidden="false" customHeight="false" outlineLevel="0" collapsed="false">
      <c r="A20" s="6" t="n">
        <v>15</v>
      </c>
      <c r="B20" s="7" t="s">
        <v>18</v>
      </c>
      <c r="C20" s="7" t="s">
        <v>11</v>
      </c>
      <c r="D20" s="6" t="s">
        <v>19</v>
      </c>
      <c r="E20" s="6" t="n">
        <v>3000</v>
      </c>
      <c r="F20" s="6" t="n">
        <v>30</v>
      </c>
      <c r="G20" s="7" t="s">
        <v>20</v>
      </c>
      <c r="H20" s="7" t="s">
        <v>22</v>
      </c>
    </row>
    <row r="21" customFormat="false" ht="15" hidden="false" customHeight="false" outlineLevel="0" collapsed="false">
      <c r="A21" s="6" t="n">
        <v>16</v>
      </c>
      <c r="B21" s="7" t="s">
        <v>18</v>
      </c>
      <c r="C21" s="7" t="s">
        <v>11</v>
      </c>
      <c r="D21" s="6" t="s">
        <v>19</v>
      </c>
      <c r="E21" s="6" t="n">
        <v>2190</v>
      </c>
      <c r="F21" s="6" t="n">
        <v>21.9</v>
      </c>
      <c r="G21" s="7" t="s">
        <v>13</v>
      </c>
      <c r="H21" s="7" t="s">
        <v>15</v>
      </c>
    </row>
    <row r="22" customFormat="false" ht="15" hidden="false" customHeight="false" outlineLevel="0" collapsed="false">
      <c r="A22" s="6" t="n">
        <v>17</v>
      </c>
      <c r="B22" s="7" t="s">
        <v>18</v>
      </c>
      <c r="C22" s="7" t="s">
        <v>11</v>
      </c>
      <c r="D22" s="6" t="s">
        <v>19</v>
      </c>
      <c r="E22" s="6" t="n">
        <v>3000</v>
      </c>
      <c r="F22" s="6" t="n">
        <v>30</v>
      </c>
      <c r="G22" s="7" t="s">
        <v>20</v>
      </c>
      <c r="H22" s="7" t="s">
        <v>24</v>
      </c>
    </row>
    <row r="23" customFormat="false" ht="15" hidden="false" customHeight="false" outlineLevel="0" collapsed="false">
      <c r="A23" s="6" t="n">
        <v>18</v>
      </c>
      <c r="B23" s="7" t="s">
        <v>18</v>
      </c>
      <c r="C23" s="7" t="s">
        <v>11</v>
      </c>
      <c r="D23" s="6" t="s">
        <v>19</v>
      </c>
      <c r="E23" s="6" t="n">
        <v>3000</v>
      </c>
      <c r="F23" s="6" t="n">
        <v>30</v>
      </c>
      <c r="G23" s="7" t="s">
        <v>20</v>
      </c>
      <c r="H23" s="7" t="s">
        <v>24</v>
      </c>
    </row>
    <row r="24" customFormat="false" ht="15" hidden="false" customHeight="false" outlineLevel="0" collapsed="false">
      <c r="A24" s="6" t="n">
        <v>19</v>
      </c>
      <c r="B24" s="7" t="s">
        <v>18</v>
      </c>
      <c r="C24" s="7" t="s">
        <v>11</v>
      </c>
      <c r="D24" s="6" t="s">
        <v>19</v>
      </c>
      <c r="E24" s="6" t="n">
        <v>3000</v>
      </c>
      <c r="F24" s="6" t="n">
        <v>30</v>
      </c>
      <c r="G24" s="7" t="s">
        <v>20</v>
      </c>
      <c r="H24" s="7" t="s">
        <v>22</v>
      </c>
    </row>
    <row r="25" customFormat="false" ht="15" hidden="false" customHeight="false" outlineLevel="0" collapsed="false">
      <c r="A25" s="6" t="n">
        <v>20</v>
      </c>
      <c r="B25" s="7" t="s">
        <v>18</v>
      </c>
      <c r="C25" s="7" t="s">
        <v>11</v>
      </c>
      <c r="D25" s="6" t="s">
        <v>19</v>
      </c>
      <c r="E25" s="6" t="n">
        <v>2570</v>
      </c>
      <c r="F25" s="6" t="n">
        <v>25.7</v>
      </c>
      <c r="G25" s="7" t="s">
        <v>13</v>
      </c>
      <c r="H25" s="7" t="s">
        <v>14</v>
      </c>
    </row>
    <row r="28" customFormat="false" ht="19.4" hidden="false" customHeight="false" outlineLevel="0" collapsed="false">
      <c r="A28" s="8" t="s">
        <v>25</v>
      </c>
      <c r="B28" s="8"/>
      <c r="C28" s="8"/>
      <c r="D28" s="8"/>
      <c r="E28" s="8"/>
      <c r="F28" s="8"/>
      <c r="G28" s="8"/>
      <c r="H28" s="8"/>
    </row>
    <row r="29" customFormat="false" ht="15" hidden="false" customHeight="false" outlineLevel="0" collapsed="false">
      <c r="A29" s="3" t="s">
        <v>26</v>
      </c>
      <c r="B29" s="3" t="s">
        <v>27</v>
      </c>
      <c r="C29" s="3" t="s">
        <v>28</v>
      </c>
      <c r="D29" s="3" t="s">
        <v>29</v>
      </c>
      <c r="E29" s="3" t="s">
        <v>30</v>
      </c>
      <c r="F29" s="3" t="s">
        <v>31</v>
      </c>
      <c r="G29" s="3" t="s">
        <v>32</v>
      </c>
      <c r="H29" s="3" t="s">
        <v>33</v>
      </c>
    </row>
    <row r="30" customFormat="false" ht="15" hidden="false" customHeight="false" outlineLevel="0" collapsed="false">
      <c r="A30" s="7" t="s">
        <v>34</v>
      </c>
      <c r="B30" s="6" t="n">
        <f aca="false">COUNTA(G6:G15)</f>
        <v>10</v>
      </c>
      <c r="C30" s="6" t="n">
        <f aca="false">MIN(E6:E15)</f>
        <v>610</v>
      </c>
      <c r="D30" s="6" t="n">
        <f aca="false">MAX(E6:E15)</f>
        <v>2210</v>
      </c>
      <c r="E30" s="6" t="n">
        <f aca="false">D30-C30</f>
        <v>1600</v>
      </c>
      <c r="F30" s="6" t="n">
        <f aca="false">IFERROR(MEDIAN(E6:E15),"-")</f>
        <v>1310</v>
      </c>
      <c r="G30" s="6" t="n">
        <f aca="false">IFERROR(MEDIAN(F6:F15),"-")</f>
        <v>13.1</v>
      </c>
      <c r="H30" s="6" t="n">
        <f aca="false">COUNTIF(G6:G15,"성공")</f>
        <v>0</v>
      </c>
    </row>
    <row r="31" customFormat="false" ht="15" hidden="false" customHeight="false" outlineLevel="0" collapsed="false">
      <c r="A31" s="7" t="s">
        <v>35</v>
      </c>
      <c r="B31" s="6" t="n">
        <f aca="false">COUNTA(G16:G25)</f>
        <v>10</v>
      </c>
      <c r="C31" s="6" t="n">
        <f aca="false">MIN(E16:E25)</f>
        <v>2190</v>
      </c>
      <c r="D31" s="6" t="n">
        <f aca="false">MAX(E16:E25)</f>
        <v>3000</v>
      </c>
      <c r="E31" s="6" t="n">
        <f aca="false">D31-C31</f>
        <v>810</v>
      </c>
      <c r="F31" s="6" t="n">
        <f aca="false">IFERROR(MEDIAN(E16:E25),"-")</f>
        <v>3000</v>
      </c>
      <c r="G31" s="6" t="n">
        <f aca="false">IFERROR(MEDIAN(F16:F25),"-")</f>
        <v>30</v>
      </c>
      <c r="H31" s="6" t="n">
        <f aca="false">COUNTIF(G16:G25,"성공")</f>
        <v>7</v>
      </c>
    </row>
    <row r="33" customFormat="false" ht="15" hidden="false" customHeight="false" outlineLevel="0" collapsed="false">
      <c r="A33" s="9" t="s">
        <v>36</v>
      </c>
      <c r="B33" s="9"/>
      <c r="C33" s="9"/>
      <c r="D33" s="9"/>
      <c r="E33" s="9"/>
      <c r="F33" s="9"/>
      <c r="G33" s="9"/>
      <c r="H33" s="9"/>
    </row>
    <row r="34" customFormat="false" ht="15" hidden="false" customHeight="true" outlineLevel="0" collapsed="false">
      <c r="A34" s="10" t="s">
        <v>37</v>
      </c>
      <c r="B34" s="10"/>
      <c r="C34" s="10"/>
      <c r="D34" s="10"/>
      <c r="E34" s="10"/>
      <c r="F34" s="10"/>
      <c r="G34" s="10"/>
      <c r="H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</row>
  </sheetData>
  <mergeCells count="5">
    <mergeCell ref="A1:H1"/>
    <mergeCell ref="A2:H2"/>
    <mergeCell ref="A28:H28"/>
    <mergeCell ref="A33:H33"/>
    <mergeCell ref="A34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2026-08-25T13:19:08Z</dcterms:created>
  <dc:creator>openpyxl</dc:creator>
  <dc:description/>
  <dc:language>en-US</dc:language>
  <cp:lastModifiedBy/>
  <dcterms:modified xsi:type="dcterms:W3CDTF">2026-08-25T13:19:08Z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